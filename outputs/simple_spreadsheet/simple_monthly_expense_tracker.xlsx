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4bd6f6588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 Tracker" sheetId="1" r:id="Rc9ce42b3fc45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7">
    <x:font>
      <x:sz val="11"/>
      <x:name val="Carlito"/>
    </x:font>
    <x:font>
      <x:b/>
      <x:sz val="18"/>
      <x:color rgb="FFFFFF"/>
      <x:name val="Aptos Display"/>
    </x:font>
    <x:font>
      <x:sz val="10"/>
      <x:color rgb="385A64"/>
      <x:name val="Aptos"/>
    </x:font>
    <x:font>
      <x:sz val="11"/>
      <x:color rgb="1F2933"/>
      <x:name val="Aptos"/>
    </x:font>
    <x:font>
      <x:b/>
      <x:sz val="11"/>
      <x:color rgb="12343B"/>
      <x:name val="Aptos"/>
    </x:font>
    <x:font>
      <x:sz val="10"/>
      <x:color rgb="1F2933"/>
      <x:name val="Aptos"/>
    </x:font>
    <x:font>
      <x:b/>
      <x:sz val="10"/>
      <x:color rgb="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EAF3F5"/>
      </x:patternFill>
    </x:fill>
    <x:fill>
      <x:patternFill patternType="solid">
        <x:fgColor rgb="F7FAFB"/>
      </x:patternFill>
    </x:fill>
    <x:fill>
      <x:patternFill patternType="solid">
        <x:fgColor rgb="DCEEEF"/>
      </x:patternFill>
    </x:fill>
    <x:fill>
      <x:patternFill patternType="solid">
        <x:fgColor rgb="C9E4E7"/>
      </x:patternFill>
    </x:fill>
    <x:fill>
      <x:patternFill patternType="solid">
        <x:fgColor rgb="FFFFFF"/>
      </x:patternFill>
    </x:fill>
  </x:fills>
  <x:borders count="12">
    <x:border/>
    <x:border>
      <x:left style="thin">
        <x:color rgb="D8E2E6"/>
      </x:left>
      <x:right style="thin">
        <x:color rgb="D8E2E6"/>
      </x:right>
      <x:top style="thin">
        <x:color rgb="D8E2E6"/>
      </x:top>
      <x:bottom style="thin">
        <x:color rgb="D8E2E6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EF2F4"/>
      </x:right>
      <x:top style="thin">
        <x:color rgb="E5E7EB"/>
      </x:top>
      <x:bottom style="thin">
        <x:color rgb="EEF2F4"/>
      </x:bottom>
    </x:border>
    <x:border>
      <x:left style="thin">
        <x:color rgb="EEF2F4"/>
      </x:left>
      <x:right style="thin">
        <x:color rgb="EEF2F4"/>
      </x:right>
      <x:top style="thin">
        <x:color rgb="E5E7EB"/>
      </x:top>
      <x:bottom style="thin">
        <x:color rgb="EEF2F4"/>
      </x:bottom>
    </x:border>
    <x:border>
      <x:left style="thin">
        <x:color rgb="EEF2F4"/>
      </x:left>
      <x:right style="thin">
        <x:color rgb="E5E7EB"/>
      </x:right>
      <x:top style="thin">
        <x:color rgb="E5E7EB"/>
      </x:top>
      <x:bottom style="thin">
        <x:color rgb="EEF2F4"/>
      </x:bottom>
    </x:border>
    <x:border>
      <x:left style="thin">
        <x:color rgb="E5E7EB"/>
      </x:left>
      <x:right style="thin">
        <x:color rgb="EEF2F4"/>
      </x:right>
      <x:top style="thin">
        <x:color rgb="EEF2F4"/>
      </x:top>
      <x:bottom style="thin">
        <x:color rgb="EEF2F4"/>
      </x:bottom>
    </x:border>
    <x:border>
      <x:left style="thin">
        <x:color rgb="EEF2F4"/>
      </x:left>
      <x:right style="thin">
        <x:color rgb="EEF2F4"/>
      </x:right>
      <x:top style="thin">
        <x:color rgb="EEF2F4"/>
      </x:top>
      <x:bottom style="thin">
        <x:color rgb="EEF2F4"/>
      </x:bottom>
    </x:border>
    <x:border>
      <x:left style="thin">
        <x:color rgb="EEF2F4"/>
      </x:left>
      <x:right style="thin">
        <x:color rgb="E5E7EB"/>
      </x:right>
      <x:top style="thin">
        <x:color rgb="EEF2F4"/>
      </x:top>
      <x:bottom style="thin">
        <x:color rgb="EEF2F4"/>
      </x:bottom>
    </x:border>
    <x:border>
      <x:left style="thin">
        <x:color rgb="E5E7EB"/>
      </x:left>
      <x:right style="thin">
        <x:color rgb="EEF2F4"/>
      </x:right>
      <x:top style="thin">
        <x:color rgb="EEF2F4"/>
      </x:top>
      <x:bottom style="thin">
        <x:color rgb="E5E7EB"/>
      </x:bottom>
    </x:border>
    <x:border>
      <x:left style="thin">
        <x:color rgb="EEF2F4"/>
      </x:left>
      <x:right style="thin">
        <x:color rgb="EEF2F4"/>
      </x:right>
      <x:top style="thin">
        <x:color rgb="EEF2F4"/>
      </x:top>
      <x:bottom style="thin">
        <x:color rgb="E5E7EB"/>
      </x:bottom>
    </x:border>
    <x:border>
      <x:left style="thin">
        <x:color rgb="EEF2F4"/>
      </x:left>
      <x:right style="thin">
        <x:color rgb="E5E7EB"/>
      </x:right>
      <x:top style="thin">
        <x:color rgb="EEF2F4"/>
      </x:top>
      <x:bottom style="thin">
        <x:color rgb="E5E7EB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horizontal="center" vertical="center"/>
    </x:xf>
    <x:xf numFmtId="200" fontId="5" fillId="7" borderId="2" xfId="0" applyNumberFormat="1" applyFont="1" applyFill="1" applyBorder="1" applyAlignment="1">
      <x:alignment vertical="center"/>
    </x:xf>
    <x:xf numFmtId="201" fontId="3" fillId="4" borderId="1" xfId="0" applyNumberFormat="1" applyFont="1" applyFill="1" applyBorder="1"/>
    <x:xf numFmtId="201" fontId="6" fillId="2" borderId="2" xfId="0" applyNumberFormat="1" applyFont="1" applyFill="1" applyBorder="1" applyAlignment="1">
      <x:alignment horizontal="center" vertical="center"/>
    </x:xf>
    <x:xf numFmtId="201" fontId="5" fillId="7" borderId="2" xfId="0" applyNumberFormat="1" applyFont="1" applyFill="1" applyBorder="1" applyAlignment="1">
      <x:alignment vertical="center"/>
    </x:xf>
    <x:xf numFmtId="202" fontId="3" fillId="4" borderId="1" xfId="0" applyNumberFormat="1" applyFont="1" applyFill="1" applyBorder="1"/>
    <x:xf numFmtId="201" fontId="4" fillId="4" borderId="1" xfId="0" applyNumberFormat="1" applyFont="1" applyFill="1" applyBorder="1"/>
    <x:xf numFmtId="202" fontId="4" fillId="4" borderId="1" xfId="0" applyNumberFormat="1" applyFont="1" applyFill="1" applyBorder="1"/>
    <x:xf numFmtId="201" fontId="5" fillId="7" borderId="2" xfId="0" applyNumberFormat="1" applyFont="1" applyFill="1" applyBorder="1" applyAlignment="1">
      <x:alignment horizontal="right" vertical="center"/>
    </x:xf>
    <x:xf numFmtId="200" fontId="5" fillId="7" borderId="3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vertical="center"/>
    </x:xf>
    <x:xf numFmtId="201" fontId="5" fillId="7" borderId="4" xfId="0" applyNumberFormat="1" applyFont="1" applyFill="1" applyBorder="1" applyAlignment="1">
      <x:alignment horizontal="right" vertical="center"/>
    </x:xf>
    <x:xf numFmtId="0" fontId="5" fillId="7" borderId="5" xfId="0" applyNumberFormat="1" applyFont="1" applyFill="1" applyBorder="1" applyAlignment="1">
      <x:alignment vertical="center"/>
    </x:xf>
    <x:xf numFmtId="200" fontId="5" fillId="7" borderId="6" xfId="0" applyNumberFormat="1" applyFont="1" applyFill="1" applyBorder="1" applyAlignment="1">
      <x:alignment vertical="center"/>
    </x:xf>
    <x:xf numFmtId="0" fontId="5" fillId="7" borderId="7" xfId="0" applyNumberFormat="1" applyFont="1" applyFill="1" applyBorder="1" applyAlignment="1">
      <x:alignment vertical="center"/>
    </x:xf>
    <x:xf numFmtId="201" fontId="5" fillId="7" borderId="7" xfId="0" applyNumberFormat="1" applyFont="1" applyFill="1" applyBorder="1" applyAlignment="1">
      <x:alignment horizontal="right" vertical="center"/>
    </x:xf>
    <x:xf numFmtId="0" fontId="5" fillId="7" borderId="8" xfId="0" applyNumberFormat="1" applyFont="1" applyFill="1" applyBorder="1" applyAlignment="1">
      <x:alignment vertical="center"/>
    </x:xf>
    <x:xf numFmtId="200" fontId="5" fillId="7" borderId="9" xfId="0" applyNumberFormat="1" applyFont="1" applyFill="1" applyBorder="1" applyAlignment="1">
      <x:alignment vertical="center"/>
    </x:xf>
    <x:xf numFmtId="0" fontId="5" fillId="7" borderId="10" xfId="0" applyNumberFormat="1" applyFont="1" applyFill="1" applyBorder="1" applyAlignment="1">
      <x:alignment vertical="center"/>
    </x:xf>
    <x:xf numFmtId="201" fontId="5" fillId="7" borderId="10" xfId="0" applyNumberFormat="1" applyFont="1" applyFill="1" applyBorder="1" applyAlignment="1">
      <x:alignment horizontal="right" vertical="center"/>
    </x:xf>
    <x:xf numFmtId="0" fontId="5" fillId="7" borderId="1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3ed4e0ed44cc2" /><Relationship Type="http://schemas.openxmlformats.org/officeDocument/2006/relationships/theme" Target="/xl/theme/theme1.xml" Id="Rac530c50051e4b42" /><Relationship Type="http://schemas.openxmlformats.org/officeDocument/2006/relationships/sharedStrings" Target="/xl/sharedStrings.xml" Id="Rf54fcfce9f524ae8" /><Relationship Type="http://schemas.openxmlformats.org/officeDocument/2006/relationships/worksheet" Target="/xl/worksheets/sheet1.xml" Id="Rc9ce42b3fc454b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33d2ab2ac143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Spending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'Expense Tracker'!$D$5:$D$11</c:f>
              <c:strCache>
                <c:ptCount val="0"/>
              </c:strCache>
            </c:strRef>
          </c:cat>
          <c:val>
            <c:numRef>
              <c:f>'Expense Tracker'!$E$5:$E$11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8E2E6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Amount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40005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33d2ab2ac143a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0452fc56d34af0" /></Relationships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9.020000457763672" hidden="0" customWidth="1"/>
    <x:col min="3" max="3" width="15.579999923706055" hidden="0" customWidth="1"/>
    <x:col min="4" max="4" width="15.579999923706055" hidden="0" customWidth="1"/>
    <x:col min="5" max="5" width="11.170000076293945" hidden="0" customWidth="1"/>
    <x:col min="6" max="6" width="11.170000076293945" hidden="0" customWidth="1"/>
    <x:col min="7" max="7" width="2.3299999237060547" hidden="0" customWidth="1"/>
    <x:col min="8" max="8" width="26.3799991607666" hidden="0" customWidth="1"/>
  </x:cols>
  <x:sheetData>
    <x:row r="1" ht="30" customHeight="1">
      <x:c r="A1" s="4" t="str">
        <x:v>Monthly Expense Tracker</x:v>
      </x:c>
      <x:c r="B1" s="4"/>
      <x:c r="C1" s="4"/>
      <x:c r="D1" s="4"/>
      <x:c r="E1" s="4"/>
      <x:c r="F1" s="4"/>
      <x:c r="G1" s="4"/>
      <x:c r="H1" s="4"/>
    </x:row>
    <x:row r="2">
      <x:c r="A2" s="7" t="str">
        <x:v>Simple workbook for tracking monthly spending by category.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Monthly Budget</x:v>
      </x:c>
      <x:c r="B4" s="26" t="n">
        <x:v>2800</x:v>
      </x:c>
      <x:c r="D4" s="15" t="str">
        <x:v>Category</x:v>
      </x:c>
      <x:c r="E4" s="15" t="str">
        <x:v>Total</x:v>
      </x:c>
    </x:row>
    <x:row r="5">
      <x:c r="A5" s="12" t="str">
        <x:v>Total Spent</x:v>
      </x:c>
      <x:c r="B5" s="30" t="n">
        <x:f>SUM(E12:E31)</x:f>
        <x:v>2395.0799999999995</x:v>
      </x:c>
      <x:c r="D5" s="10" t="str">
        <x:v>Housing</x:v>
      </x:c>
      <x:c r="E5" s="26" t="n">
        <x:f>SUMIF(C$12:C$31,"Housing",E$12:E$31)</x:f>
        <x:v>1850</x:v>
      </x:c>
    </x:row>
    <x:row r="6">
      <x:c r="A6" s="12" t="str">
        <x:v>Remaining</x:v>
      </x:c>
      <x:c r="B6" s="30" t="n">
        <x:f>B4-B5</x:f>
        <x:v>404.9200000000005</x:v>
      </x:c>
      <x:c r="D6" s="10" t="str">
        <x:v>Food</x:v>
      </x:c>
      <x:c r="E6" s="26" t="n">
        <x:f>SUMIF(C$12:C$31,"Food",E$12:E$31)</x:f>
        <x:v>232.95</x:v>
      </x:c>
    </x:row>
    <x:row r="7">
      <x:c r="A7" s="12" t="str">
        <x:v>Largest Expense</x:v>
      </x:c>
      <x:c r="B7" s="30" t="n">
        <x:f>MAX(E12:E31)</x:f>
        <x:v>1850</x:v>
      </x:c>
      <x:c r="D7" s="10" t="str">
        <x:v>Utilities</x:v>
      </x:c>
      <x:c r="E7" s="26" t="n">
        <x:f>SUMIF(C$12:C$31,"Utilities",E$12:E$31)</x:f>
        <x:v>198.58999999999997</x:v>
      </x:c>
    </x:row>
    <x:row r="8">
      <x:c r="A8" s="12" t="str">
        <x:v>Paid Ratio</x:v>
      </x:c>
      <x:c r="B8" s="31" t="n">
        <x:f>IFERROR(COUNTIF(F12:F31,"Paid")/COUNTA(F12:F31),0)</x:f>
        <x:v>0.875</x:v>
      </x:c>
      <x:c r="D8" s="10" t="str">
        <x:v>Transportation</x:v>
      </x:c>
      <x:c r="E8" s="26" t="n">
        <x:f>SUMIF(C$12:C$31,"Transportation",E$12:E$31)</x:f>
        <x:v>52.4</x:v>
      </x:c>
    </x:row>
    <x:row r="9">
      <x:c r="D9" s="10" t="str">
        <x:v>Health</x:v>
      </x:c>
      <x:c r="E9" s="26" t="n">
        <x:f>SUMIF(C$12:C$31,"Health",E$12:E$31)</x:f>
        <x:v>42.15</x:v>
      </x:c>
    </x:row>
    <x:row r="10">
      <x:c r="D10" s="10" t="str">
        <x:v>Entertainment</x:v>
      </x:c>
      <x:c r="E10" s="26" t="n">
        <x:f>SUMIF(C$12:C$31,"Entertainment",E$12:E$31)</x:f>
        <x:v>18.99</x:v>
      </x:c>
    </x:row>
    <x:row r="11">
      <x:c r="A11" s="24" t="str">
        <x:v>Date</x:v>
      </x:c>
      <x:c r="B11" s="24" t="str">
        <x:v>Description</x:v>
      </x:c>
      <x:c r="C11" s="24" t="str">
        <x:v>Category</x:v>
      </x:c>
      <x:c r="D11" s="24" t="str">
        <x:v>Payment Method</x:v>
      </x:c>
      <x:c r="E11" s="27" t="str">
        <x:v>Amount</x:v>
      </x:c>
      <x:c r="F11" s="24" t="str">
        <x:v>Status</x:v>
      </x:c>
    </x:row>
    <x:row r="12">
      <x:c r="A12" s="33" t="n">
        <x:v>46113</x:v>
      </x:c>
      <x:c r="B12" s="34" t="str">
        <x:v>Rent</x:v>
      </x:c>
      <x:c r="C12" s="34" t="str">
        <x:v>Housing</x:v>
      </x:c>
      <x:c r="D12" s="34" t="str">
        <x:v>Bank Transfer</x:v>
      </x:c>
      <x:c r="E12" s="35" t="n">
        <x:v>1850</x:v>
      </x:c>
      <x:c r="F12" s="36" t="str">
        <x:v>Paid</x:v>
      </x:c>
    </x:row>
    <x:row r="13">
      <x:c r="A13" s="37" t="n">
        <x:v>46115</x:v>
      </x:c>
      <x:c r="B13" s="38" t="str">
        <x:v>Groceries</x:v>
      </x:c>
      <x:c r="C13" s="38" t="str">
        <x:v>Food</x:v>
      </x:c>
      <x:c r="D13" s="38" t="str">
        <x:v>Credit Card</x:v>
      </x:c>
      <x:c r="E13" s="39" t="n">
        <x:v>164.75</x:v>
      </x:c>
      <x:c r="F13" s="40" t="str">
        <x:v>Paid</x:v>
      </x:c>
    </x:row>
    <x:row r="14">
      <x:c r="A14" s="37" t="n">
        <x:v>46117</x:v>
      </x:c>
      <x:c r="B14" s="38" t="str">
        <x:v>Internet</x:v>
      </x:c>
      <x:c r="C14" s="38" t="str">
        <x:v>Utilities</x:v>
      </x:c>
      <x:c r="D14" s="38" t="str">
        <x:v>Credit Card</x:v>
      </x:c>
      <x:c r="E14" s="39" t="n">
        <x:v>79.99</x:v>
      </x:c>
      <x:c r="F14" s="40" t="str">
        <x:v>Paid</x:v>
      </x:c>
    </x:row>
    <x:row r="15">
      <x:c r="A15" s="37" t="n">
        <x:v>46120</x:v>
      </x:c>
      <x:c r="B15" s="38" t="str">
        <x:v>Fuel</x:v>
      </x:c>
      <x:c r="C15" s="38" t="str">
        <x:v>Transportation</x:v>
      </x:c>
      <x:c r="D15" s="38" t="str">
        <x:v>Debit Card</x:v>
      </x:c>
      <x:c r="E15" s="39" t="n">
        <x:v>52.4</x:v>
      </x:c>
      <x:c r="F15" s="40" t="str">
        <x:v>Paid</x:v>
      </x:c>
    </x:row>
    <x:row r="16">
      <x:c r="A16" s="37" t="n">
        <x:v>46124</x:v>
      </x:c>
      <x:c r="B16" s="38" t="str">
        <x:v>Dinner</x:v>
      </x:c>
      <x:c r="C16" s="38" t="str">
        <x:v>Food</x:v>
      </x:c>
      <x:c r="D16" s="38" t="str">
        <x:v>Credit Card</x:v>
      </x:c>
      <x:c r="E16" s="39" t="n">
        <x:v>68.2</x:v>
      </x:c>
      <x:c r="F16" s="40" t="str">
        <x:v>Paid</x:v>
      </x:c>
    </x:row>
    <x:row r="17">
      <x:c r="A17" s="37" t="n">
        <x:v>46128</x:v>
      </x:c>
      <x:c r="B17" s="38" t="str">
        <x:v>Pharmacy</x:v>
      </x:c>
      <x:c r="C17" s="38" t="str">
        <x:v>Health</x:v>
      </x:c>
      <x:c r="D17" s="38" t="str">
        <x:v>Debit Card</x:v>
      </x:c>
      <x:c r="E17" s="39" t="n">
        <x:v>42.15</x:v>
      </x:c>
      <x:c r="F17" s="40" t="str">
        <x:v>Paid</x:v>
      </x:c>
    </x:row>
    <x:row r="18">
      <x:c r="A18" s="37" t="n">
        <x:v>46133</x:v>
      </x:c>
      <x:c r="B18" s="38" t="str">
        <x:v>Electricity</x:v>
      </x:c>
      <x:c r="C18" s="38" t="str">
        <x:v>Utilities</x:v>
      </x:c>
      <x:c r="D18" s="38" t="str">
        <x:v>Bank Transfer</x:v>
      </x:c>
      <x:c r="E18" s="39" t="n">
        <x:v>118.6</x:v>
      </x:c>
      <x:c r="F18" s="40" t="str">
        <x:v>Pending</x:v>
      </x:c>
    </x:row>
    <x:row r="19">
      <x:c r="A19" s="37" t="n">
        <x:v>46137</x:v>
      </x:c>
      <x:c r="B19" s="38" t="str">
        <x:v>Streaming</x:v>
      </x:c>
      <x:c r="C19" s="38" t="str">
        <x:v>Entertainment</x:v>
      </x:c>
      <x:c r="D19" s="38" t="str">
        <x:v>Credit Card</x:v>
      </x:c>
      <x:c r="E19" s="39" t="n">
        <x:v>18.99</x:v>
      </x:c>
      <x:c r="F19" s="40" t="str">
        <x:v>Paid</x:v>
      </x:c>
    </x:row>
    <x:row r="20">
      <x:c r="A20" s="37"/>
      <x:c r="B20" s="38"/>
      <x:c r="C20" s="38"/>
      <x:c r="D20" s="38"/>
      <x:c r="E20" s="39"/>
      <x:c r="F20" s="40"/>
    </x:row>
    <x:row r="21">
      <x:c r="A21" s="37"/>
      <x:c r="B21" s="38"/>
      <x:c r="C21" s="38"/>
      <x:c r="D21" s="38"/>
      <x:c r="E21" s="39"/>
      <x:c r="F21" s="40"/>
    </x:row>
    <x:row r="22">
      <x:c r="A22" s="37"/>
      <x:c r="B22" s="38"/>
      <x:c r="C22" s="38"/>
      <x:c r="D22" s="38"/>
      <x:c r="E22" s="39"/>
      <x:c r="F22" s="40"/>
    </x:row>
    <x:row r="23">
      <x:c r="A23" s="37"/>
      <x:c r="B23" s="38"/>
      <x:c r="C23" s="38"/>
      <x:c r="D23" s="38"/>
      <x:c r="E23" s="39"/>
      <x:c r="F23" s="40"/>
    </x:row>
    <x:row r="24">
      <x:c r="A24" s="37"/>
      <x:c r="B24" s="38"/>
      <x:c r="C24" s="38"/>
      <x:c r="D24" s="38"/>
      <x:c r="E24" s="39"/>
      <x:c r="F24" s="40"/>
    </x:row>
    <x:row r="25">
      <x:c r="A25" s="37"/>
      <x:c r="B25" s="38"/>
      <x:c r="C25" s="38"/>
      <x:c r="D25" s="38"/>
      <x:c r="E25" s="39"/>
      <x:c r="F25" s="40"/>
    </x:row>
    <x:row r="26">
      <x:c r="A26" s="37"/>
      <x:c r="B26" s="38"/>
      <x:c r="C26" s="38"/>
      <x:c r="D26" s="38"/>
      <x:c r="E26" s="39"/>
      <x:c r="F26" s="40"/>
    </x:row>
    <x:row r="27">
      <x:c r="A27" s="37"/>
      <x:c r="B27" s="38"/>
      <x:c r="C27" s="38"/>
      <x:c r="D27" s="38"/>
      <x:c r="E27" s="39"/>
      <x:c r="F27" s="40"/>
    </x:row>
    <x:row r="28">
      <x:c r="A28" s="37"/>
      <x:c r="B28" s="38"/>
      <x:c r="C28" s="38"/>
      <x:c r="D28" s="38"/>
      <x:c r="E28" s="39"/>
      <x:c r="F28" s="40"/>
    </x:row>
    <x:row r="29">
      <x:c r="A29" s="37"/>
      <x:c r="B29" s="38"/>
      <x:c r="C29" s="38"/>
      <x:c r="D29" s="38"/>
      <x:c r="E29" s="39"/>
      <x:c r="F29" s="40"/>
    </x:row>
    <x:row r="30">
      <x:c r="A30" s="37"/>
      <x:c r="B30" s="38"/>
      <x:c r="C30" s="38"/>
      <x:c r="D30" s="38"/>
      <x:c r="E30" s="39"/>
      <x:c r="F30" s="40"/>
    </x:row>
    <x:row r="31">
      <x:c r="A31" s="41"/>
      <x:c r="B31" s="42"/>
      <x:c r="C31" s="42"/>
      <x:c r="D31" s="42"/>
      <x:c r="E31" s="43"/>
      <x:c r="F31" s="44"/>
    </x:row>
  </x:sheetData>
  <x:conditionalFormatting sqref="F12:F31">
    <x:cfRule type="containsText" dxfId="0" priority="1" operator="containsText" text="Pending"/>
  </x:conditionalFormatting>
  <x:conditionalFormatting sqref="B6:B6">
    <x:cfRule type="cellIs" dxfId="1" priority="2" operator="lessThan">
      <x:formula>0</x:formula>
    </x:cfRule>
  </x:conditionalFormatting>
  <x:dataValidations count="3">
    <x:dataValidation type="list" allowBlank="1" showDropDown="0" sqref="C12:C31">
      <x:formula1>"Housing,Food,Utilities,Transportation,Health,Entertainment,Other"</x:formula1>
    </x:dataValidation>
    <x:dataValidation type="list" allowBlank="1" showDropDown="0" sqref="D12:D31">
      <x:formula1>"Credit Card,Debit Card,Bank Transfer,Cash"</x:formula1>
    </x:dataValidation>
    <x:dataValidation type="list" allowBlank="1" showDropDown="0" sqref="F12:F31">
      <x:formula1>"Paid,Pending"</x:formula1>
    </x:dataValidation>
  </x:dataValidations>
  <x:pageMargins left="0.7" right="0.7" top="0.75" bottom="0.75" header="0.3" footer="0.3"/>
  <x:drawing xmlns:r="http://schemas.openxmlformats.org/officeDocument/2006/relationships" r:id="R660452fc56d34af0"/>
</x:worksheet>
</file>